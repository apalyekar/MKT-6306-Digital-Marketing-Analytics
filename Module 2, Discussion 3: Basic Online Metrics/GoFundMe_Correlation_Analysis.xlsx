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317d5bbef3472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 Data" sheetId="1" r:id="R5883e8bae82a4c61"/>
    <x:sheet xmlns:r="http://schemas.openxmlformats.org/officeDocument/2006/relationships" name="Correlations" sheetId="2" r:id="Rf5f7282aa56d48d4"/>
    <x:sheet xmlns:r="http://schemas.openxmlformats.org/officeDocument/2006/relationships" name="Notes" sheetId="3" r:id="R8b8cb507bd164d6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$#,##0"/>
    <x:numFmt numFmtId="201" formatCode="0.0%"/>
    <x:numFmt numFmtId="202" formatCode="$#,##0.00"/>
    <x:numFmt numFmtId="203" formatCode="0.000"/>
  </x:numFmts>
  <x:fonts count="3">
    <x:font>
      <x:sz val="11"/>
      <x:name val="Carlito"/>
    </x:font>
    <x:font>
      <x:b/>
      <x:sz val="11"/>
      <x:color rgb="FF222222"/>
      <x:name val="Carlito"/>
    </x:font>
    <x:font>
      <x:b/>
      <x:sz val="11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D9E2F3"/>
      </x:patternFill>
    </x:fill>
  </x:fills>
  <x:borders count="2">
    <x:border/>
    <x:border/>
  </x:borders>
  <x:cellStyleXfs count="1">
    <x:xf numFmtId="0" fontId="0" fillId="0" borderId="0"/>
  </x:cellStyleXfs>
  <x:cellXfs count="1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203" fontId="0" fillId="0" borderId="0" xfId="0" applyNumberFormat="1" applyFont="1" applyFill="1" applyBorder="1"/>
    <x:xf numFmtId="203" fontId="0" fillId="0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00eae3be2c14319" /><Relationship Type="http://schemas.openxmlformats.org/officeDocument/2006/relationships/theme" Target="/xl/theme/theme1.xml" Id="R1805ddf604e34a3b" /><Relationship Type="http://schemas.openxmlformats.org/officeDocument/2006/relationships/sharedStrings" Target="/xl/sharedStrings.xml" Id="R5d5d7cf679c64d49" /><Relationship Type="http://schemas.openxmlformats.org/officeDocument/2006/relationships/worksheet" Target="/xl/worksheets/sheet1.xml" Id="R5883e8bae82a4c61" /><Relationship Type="http://schemas.openxmlformats.org/officeDocument/2006/relationships/worksheet" Target="/xl/worksheets/sheet2.xml" Id="Rf5f7282aa56d48d4" /><Relationship Type="http://schemas.openxmlformats.org/officeDocument/2006/relationships/worksheet" Target="/xl/worksheets/sheet3.xml" Id="R8b8cb507bd164d6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7" hidden="0" customWidth="1"/>
    <x:col min="2" max="2" width="21" hidden="0" customWidth="1"/>
    <x:col min="3" max="3" width="43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8" hidden="0" customWidth="1"/>
    <x:col min="10" max="10" width="18" hidden="0" customWidth="1"/>
  </x:cols>
  <x:sheetData>
    <x:row r="1" ht="26" customHeight="1">
      <x:c r="A1" s="4" t="str">
        <x:v>ID</x:v>
      </x:c>
      <x:c r="B1" s="4" t="str">
        <x:v>Category</x:v>
      </x:c>
      <x:c r="C1" s="4" t="str">
        <x:v>Campaign</x:v>
      </x:c>
      <x:c r="D1" s="4" t="str">
        <x:v>Sample</x:v>
      </x:c>
      <x:c r="E1" s="4" t="str">
        <x:v>Goal ($)</x:v>
      </x:c>
      <x:c r="F1" s="4" t="str">
        <x:v>Raised ($)</x:v>
      </x:c>
      <x:c r="G1" s="4" t="str">
        <x:v>Donations</x:v>
      </x:c>
      <x:c r="H1" s="4" t="str">
        <x:v>Distance to goal ($)</x:v>
      </x:c>
      <x:c r="I1" s="4" t="str">
        <x:v>Goal achieved (%)</x:v>
      </x:c>
      <x:c r="J1" s="4" t="str">
        <x:v>Average donation ($)</x:v>
      </x:c>
    </x:row>
    <x:row r="2">
      <x:c r="A2" t="n">
        <x:v>1</x:v>
      </x:c>
      <x:c r="B2" t="str">
        <x:v>Fire recovery</x:v>
      </x:c>
      <x:c r="C2" t="str">
        <x:v>Jessica &amp; Paul – Fire Recovery</x:v>
      </x:c>
      <x:c r="D2" t="str">
        <x:v>Original 10</x:v>
      </x:c>
      <x:c r="E2" s="8" t="n">
        <x:v>170000</x:v>
      </x:c>
      <x:c r="F2" s="8" t="n">
        <x:v>103923</x:v>
      </x:c>
      <x:c r="G2" t="n">
        <x:v>442</x:v>
      </x:c>
      <x:c r="H2" s="8" t="n">
        <x:f>E2-F2</x:f>
        <x:v>66077</x:v>
      </x:c>
      <x:c r="I2" s="10" t="n">
        <x:f>IFERROR(F2/E2,0)</x:f>
        <x:v>0.6113117647058823</x:v>
      </x:c>
      <x:c r="J2" s="12" t="n">
        <x:f>IFERROR(F2/G2,0)</x:f>
        <x:v>235.11990950226243</x:v>
      </x:c>
    </x:row>
    <x:row r="3">
      <x:c r="A3" t="n">
        <x:v>2</x:v>
      </x:c>
      <x:c r="B3" t="str">
        <x:v>Fire recovery</x:v>
      </x:c>
      <x:c r="C3" t="str">
        <x:v>Rebuild After House Fire</x:v>
      </x:c>
      <x:c r="D3" t="str">
        <x:v>Original 10</x:v>
      </x:c>
      <x:c r="E3" s="8" t="n">
        <x:v>22000</x:v>
      </x:c>
      <x:c r="F3" s="8" t="n">
        <x:v>1050</x:v>
      </x:c>
      <x:c r="G3" t="n">
        <x:v>6</x:v>
      </x:c>
      <x:c r="H3" s="8" t="n">
        <x:f>E3-F3</x:f>
        <x:v>20950</x:v>
      </x:c>
      <x:c r="I3" s="10" t="n">
        <x:f>IFERROR(F3/E3,0)</x:f>
        <x:v>0.04772727272727273</x:v>
      </x:c>
      <x:c r="J3" s="12" t="n">
        <x:f>IFERROR(F3/G3,0)</x:f>
        <x:v>175</x:v>
      </x:c>
    </x:row>
    <x:row r="4">
      <x:c r="A4" t="n">
        <x:v>3</x:v>
      </x:c>
      <x:c r="B4" t="str">
        <x:v>Animal rescue</x:v>
      </x:c>
      <x:c r="C4" t="str">
        <x:v>Cleaning, Repairs &amp; Vet Care</x:v>
      </x:c>
      <x:c r="D4" t="str">
        <x:v>Original 10</x:v>
      </x:c>
      <x:c r="E4" s="8" t="n">
        <x:v>25000</x:v>
      </x:c>
      <x:c r="F4" s="8" t="n">
        <x:v>5980</x:v>
      </x:c>
      <x:c r="G4" t="n">
        <x:v>11</x:v>
      </x:c>
      <x:c r="H4" s="8" t="n">
        <x:f>E4-F4</x:f>
        <x:v>19020</x:v>
      </x:c>
      <x:c r="I4" s="10" t="n">
        <x:f>IFERROR(F4/E4,0)</x:f>
        <x:v>0.2392</x:v>
      </x:c>
      <x:c r="J4" s="12" t="n">
        <x:f>IFERROR(F4/G4,0)</x:f>
        <x:v>543.6363636363636</x:v>
      </x:c>
    </x:row>
    <x:row r="5">
      <x:c r="A5" t="n">
        <x:v>4</x:v>
      </x:c>
      <x:c r="B5" t="str">
        <x:v>Fire recovery</x:v>
      </x:c>
      <x:c r="C5" t="str">
        <x:v>Dolan &amp; Jennifer – Fire Recovery</x:v>
      </x:c>
      <x:c r="D5" t="str">
        <x:v>Original 10</x:v>
      </x:c>
      <x:c r="E5" s="8" t="n">
        <x:v>3500</x:v>
      </x:c>
      <x:c r="F5" s="8" t="n">
        <x:v>450</x:v>
      </x:c>
      <x:c r="G5" t="n">
        <x:v>3</x:v>
      </x:c>
      <x:c r="H5" s="8" t="n">
        <x:f>E5-F5</x:f>
        <x:v>3050</x:v>
      </x:c>
      <x:c r="I5" s="10" t="n">
        <x:f>IFERROR(F5/E5,0)</x:f>
        <x:v>0.12857142857142856</x:v>
      </x:c>
      <x:c r="J5" s="12" t="n">
        <x:f>IFERROR(F5/G5,0)</x:f>
        <x:v>150</x:v>
      </x:c>
    </x:row>
    <x:row r="6">
      <x:c r="A6" t="n">
        <x:v>5</x:v>
      </x:c>
      <x:c r="B6" t="str">
        <x:v>Animal rescue</x:v>
      </x:c>
      <x:c r="C6" t="str">
        <x:v>Every Animal Deserves a Rescue</x:v>
      </x:c>
      <x:c r="D6" t="str">
        <x:v>Original 10</x:v>
      </x:c>
      <x:c r="E6" s="8" t="n">
        <x:v>2000</x:v>
      </x:c>
      <x:c r="F6" s="8" t="n">
        <x:v>1256</x:v>
      </x:c>
      <x:c r="G6" t="n">
        <x:v>16</x:v>
      </x:c>
      <x:c r="H6" s="8" t="n">
        <x:f>E6-F6</x:f>
        <x:v>744</x:v>
      </x:c>
      <x:c r="I6" s="10" t="n">
        <x:f>IFERROR(F6/E6,0)</x:f>
        <x:v>0.628</x:v>
      </x:c>
      <x:c r="J6" s="12" t="n">
        <x:f>IFERROR(F6/G6,0)</x:f>
        <x:v>78.5</x:v>
      </x:c>
    </x:row>
    <x:row r="7">
      <x:c r="A7" t="n">
        <x:v>6</x:v>
      </x:c>
      <x:c r="B7" t="str">
        <x:v>Medical</x:v>
      </x:c>
      <x:c r="C7" t="str">
        <x:v>Rally Around Haley</x:v>
      </x:c>
      <x:c r="D7" t="str">
        <x:v>Original 10</x:v>
      </x:c>
      <x:c r="E7" s="8" t="n">
        <x:v>75000</x:v>
      </x:c>
      <x:c r="F7" s="8" t="n">
        <x:v>12260</x:v>
      </x:c>
      <x:c r="G7" t="n">
        <x:v>23</x:v>
      </x:c>
      <x:c r="H7" s="8" t="n">
        <x:f>E7-F7</x:f>
        <x:v>62740</x:v>
      </x:c>
      <x:c r="I7" s="10" t="n">
        <x:f>IFERROR(F7/E7,0)</x:f>
        <x:v>0.16346666666666668</x:v>
      </x:c>
      <x:c r="J7" s="12" t="n">
        <x:f>IFERROR(F7/G7,0)</x:f>
        <x:v>533.0434782608696</x:v>
      </x:c>
    </x:row>
    <x:row r="8">
      <x:c r="A8" t="n">
        <x:v>7</x:v>
      </x:c>
      <x:c r="B8" t="str">
        <x:v>Fire recovery</x:v>
      </x:c>
      <x:c r="C8" t="str">
        <x:v>Family Starting Over After Fire</x:v>
      </x:c>
      <x:c r="D8" t="str">
        <x:v>Original 10</x:v>
      </x:c>
      <x:c r="E8" s="8" t="n">
        <x:v>6500</x:v>
      </x:c>
      <x:c r="F8" s="8" t="n">
        <x:v>5613</x:v>
      </x:c>
      <x:c r="G8" t="n">
        <x:v>71</x:v>
      </x:c>
      <x:c r="H8" s="8" t="n">
        <x:f>E8-F8</x:f>
        <x:v>887</x:v>
      </x:c>
      <x:c r="I8" s="10" t="n">
        <x:f>IFERROR(F8/E8,0)</x:f>
        <x:v>0.8635384615384616</x:v>
      </x:c>
      <x:c r="J8" s="12" t="n">
        <x:f>IFERROR(F8/G8,0)</x:f>
        <x:v>79.05633802816901</x:v>
      </x:c>
    </x:row>
    <x:row r="9">
      <x:c r="A9" t="n">
        <x:v>8</x:v>
      </x:c>
      <x:c r="B9" t="str">
        <x:v>Animal rescue</x:v>
      </x:c>
      <x:c r="C9" t="str">
        <x:v>Vet Care for Rescued Cats</x:v>
      </x:c>
      <x:c r="D9" t="str">
        <x:v>Original 10</x:v>
      </x:c>
      <x:c r="E9" s="8" t="n">
        <x:v>1600</x:v>
      </x:c>
      <x:c r="F9" s="8" t="n">
        <x:v>1410</x:v>
      </x:c>
      <x:c r="G9" t="n">
        <x:v>24</x:v>
      </x:c>
      <x:c r="H9" s="8" t="n">
        <x:f>E9-F9</x:f>
        <x:v>190</x:v>
      </x:c>
      <x:c r="I9" s="10" t="n">
        <x:f>IFERROR(F9/E9,0)</x:f>
        <x:v>0.88125</x:v>
      </x:c>
      <x:c r="J9" s="12" t="n">
        <x:f>IFERROR(F9/G9,0)</x:f>
        <x:v>58.75</x:v>
      </x:c>
    </x:row>
    <x:row r="10">
      <x:c r="A10" t="n">
        <x:v>9</x:v>
      </x:c>
      <x:c r="B10" t="str">
        <x:v>Animal rescue</x:v>
      </x:c>
      <x:c r="C10" t="str">
        <x:v>Forgotten Paws Dog Rescue</x:v>
      </x:c>
      <x:c r="D10" t="str">
        <x:v>Original 10</x:v>
      </x:c>
      <x:c r="E10" s="8" t="n">
        <x:v>350000</x:v>
      </x:c>
      <x:c r="F10" s="8" t="n">
        <x:v>12075</x:v>
      </x:c>
      <x:c r="G10" t="n">
        <x:v>118</x:v>
      </x:c>
      <x:c r="H10" s="8" t="n">
        <x:f>E10-F10</x:f>
        <x:v>337925</x:v>
      </x:c>
      <x:c r="I10" s="10" t="n">
        <x:f>IFERROR(F10/E10,0)</x:f>
        <x:v>0.0345</x:v>
      </x:c>
      <x:c r="J10" s="12" t="n">
        <x:f>IFERROR(F10/G10,0)</x:f>
        <x:v>102.33050847457628</x:v>
      </x:c>
    </x:row>
    <x:row r="11">
      <x:c r="A11" t="n">
        <x:v>10</x:v>
      </x:c>
      <x:c r="B11" t="str">
        <x:v>Fire recovery</x:v>
      </x:c>
      <x:c r="C11" t="str">
        <x:v>Family After the Fire</x:v>
      </x:c>
      <x:c r="D11" t="str">
        <x:v>Original 10</x:v>
      </x:c>
      <x:c r="E11" s="8" t="n">
        <x:v>6000</x:v>
      </x:c>
      <x:c r="F11" s="8" t="n">
        <x:v>1630</x:v>
      </x:c>
      <x:c r="G11" t="n">
        <x:v>15</x:v>
      </x:c>
      <x:c r="H11" s="8" t="n">
        <x:f>E11-F11</x:f>
        <x:v>4370</x:v>
      </x:c>
      <x:c r="I11" s="10" t="n">
        <x:f>IFERROR(F11/E11,0)</x:f>
        <x:v>0.27166666666666667</x:v>
      </x:c>
      <x:c r="J11" s="12" t="n">
        <x:f>IFERROR(F11/G11,0)</x:f>
        <x:v>108.66666666666667</x:v>
      </x:c>
    </x:row>
    <x:row r="12">
      <x:c r="A12" t="n">
        <x:v>11</x:v>
      </x:c>
      <x:c r="B12" t="str">
        <x:v>Education</x:v>
      </x:c>
      <x:c r="C12" t="str">
        <x:v>College Tuition Goal</x:v>
      </x:c>
      <x:c r="D12" t="str">
        <x:v>Additional 15</x:v>
      </x:c>
      <x:c r="E12" s="8" t="n">
        <x:v>1400</x:v>
      </x:c>
      <x:c r="F12" s="8" t="n">
        <x:v>185</x:v>
      </x:c>
      <x:c r="G12" t="n">
        <x:v>5</x:v>
      </x:c>
      <x:c r="H12" s="8" t="n">
        <x:f>E12-F12</x:f>
        <x:v>1215</x:v>
      </x:c>
      <x:c r="I12" s="10" t="n">
        <x:f>IFERROR(F12/E12,0)</x:f>
        <x:v>0.13214285714285715</x:v>
      </x:c>
      <x:c r="J12" s="12" t="n">
        <x:f>IFERROR(F12/G12,0)</x:f>
        <x:v>37</x:v>
      </x:c>
    </x:row>
    <x:row r="13">
      <x:c r="A13" t="n">
        <x:v>12</x:v>
      </x:c>
      <x:c r="B13" t="str">
        <x:v>Education</x:v>
      </x:c>
      <x:c r="C13" t="str">
        <x:v>Education and Tuition</x:v>
      </x:c>
      <x:c r="D13" t="str">
        <x:v>Additional 15</x:v>
      </x:c>
      <x:c r="E13" s="8" t="n">
        <x:v>8000</x:v>
      </x:c>
      <x:c r="F13" s="8" t="n">
        <x:v>4100</x:v>
      </x:c>
      <x:c r="G13" t="n">
        <x:v>40</x:v>
      </x:c>
      <x:c r="H13" s="8" t="n">
        <x:f>E13-F13</x:f>
        <x:v>3900</x:v>
      </x:c>
      <x:c r="I13" s="10" t="n">
        <x:f>IFERROR(F13/E13,0)</x:f>
        <x:v>0.5125</x:v>
      </x:c>
      <x:c r="J13" s="12" t="n">
        <x:f>IFERROR(F13/G13,0)</x:f>
        <x:v>102.5</x:v>
      </x:c>
    </x:row>
    <x:row r="14">
      <x:c r="A14" t="n">
        <x:v>13</x:v>
      </x:c>
      <x:c r="B14" t="str">
        <x:v>Education</x:v>
      </x:c>
      <x:c r="C14" t="str">
        <x:v>Daughter's Dream College</x:v>
      </x:c>
      <x:c r="D14" t="str">
        <x:v>Additional 15</x:v>
      </x:c>
      <x:c r="E14" s="8" t="n">
        <x:v>8000</x:v>
      </x:c>
      <x:c r="F14" s="8" t="n">
        <x:v>1549</x:v>
      </x:c>
      <x:c r="G14" t="n">
        <x:v>11</x:v>
      </x:c>
      <x:c r="H14" s="8" t="n">
        <x:f>E14-F14</x:f>
        <x:v>6451</x:v>
      </x:c>
      <x:c r="I14" s="10" t="n">
        <x:f>IFERROR(F14/E14,0)</x:f>
        <x:v>0.193625</x:v>
      </x:c>
      <x:c r="J14" s="12" t="n">
        <x:f>IFERROR(F14/G14,0)</x:f>
        <x:v>140.8181818181818</x:v>
      </x:c>
    </x:row>
    <x:row r="15">
      <x:c r="A15" t="n">
        <x:v>14</x:v>
      </x:c>
      <x:c r="B15" t="str">
        <x:v>Memorial</x:v>
      </x:c>
      <x:c r="C15" t="str">
        <x:v>Memorial and Funeral</x:v>
      </x:c>
      <x:c r="D15" t="str">
        <x:v>Additional 15</x:v>
      </x:c>
      <x:c r="E15" s="8" t="n">
        <x:v>25000</x:v>
      </x:c>
      <x:c r="F15" s="8" t="n">
        <x:v>15300</x:v>
      </x:c>
      <x:c r="G15" t="n">
        <x:v>151</x:v>
      </x:c>
      <x:c r="H15" s="8" t="n">
        <x:f>E15-F15</x:f>
        <x:v>9700</x:v>
      </x:c>
      <x:c r="I15" s="10" t="n">
        <x:f>IFERROR(F15/E15,0)</x:f>
        <x:v>0.612</x:v>
      </x:c>
      <x:c r="J15" s="12" t="n">
        <x:f>IFERROR(F15/G15,0)</x:f>
        <x:v>101.32450331125828</x:v>
      </x:c>
    </x:row>
    <x:row r="16">
      <x:c r="A16" t="n">
        <x:v>15</x:v>
      </x:c>
      <x:c r="B16" t="str">
        <x:v>Memorial</x:v>
      </x:c>
      <x:c r="C16" t="str">
        <x:v>Bryan's Memorial Services</x:v>
      </x:c>
      <x:c r="D16" t="str">
        <x:v>Additional 15</x:v>
      </x:c>
      <x:c r="E16" s="8" t="n">
        <x:v>45000</x:v>
      </x:c>
      <x:c r="F16" s="8" t="n">
        <x:v>33697</x:v>
      </x:c>
      <x:c r="G16" t="n">
        <x:v>478</x:v>
      </x:c>
      <x:c r="H16" s="8" t="n">
        <x:f>E16-F16</x:f>
        <x:v>11303</x:v>
      </x:c>
      <x:c r="I16" s="10" t="n">
        <x:f>IFERROR(F16/E16,0)</x:f>
        <x:v>0.7488222222222222</x:v>
      </x:c>
      <x:c r="J16" s="12" t="n">
        <x:f>IFERROR(F16/G16,0)</x:f>
        <x:v>70.49581589958159</x:v>
      </x:c>
    </x:row>
    <x:row r="17">
      <x:c r="A17" t="n">
        <x:v>16</x:v>
      </x:c>
      <x:c r="B17" t="str">
        <x:v>Community</x:v>
      </x:c>
      <x:c r="C17" t="str">
        <x:v>Grow Our Community Garden</x:v>
      </x:c>
      <x:c r="D17" t="str">
        <x:v>Additional 15</x:v>
      </x:c>
      <x:c r="E17" s="8" t="n">
        <x:v>3500</x:v>
      </x:c>
      <x:c r="F17" s="8" t="n">
        <x:v>2878</x:v>
      </x:c>
      <x:c r="G17" t="n">
        <x:v>27</x:v>
      </x:c>
      <x:c r="H17" s="8" t="n">
        <x:f>E17-F17</x:f>
        <x:v>622</x:v>
      </x:c>
      <x:c r="I17" s="10" t="n">
        <x:f>IFERROR(F17/E17,0)</x:f>
        <x:v>0.8222857142857143</x:v>
      </x:c>
      <x:c r="J17" s="12" t="n">
        <x:f>IFERROR(F17/G17,0)</x:f>
        <x:v>106.5925925925926</x:v>
      </x:c>
    </x:row>
    <x:row r="18">
      <x:c r="A18" t="n">
        <x:v>17</x:v>
      </x:c>
      <x:c r="B18" t="str">
        <x:v>Community</x:v>
      </x:c>
      <x:c r="C18" t="str">
        <x:v>Good Prospect Garden</x:v>
      </x:c>
      <x:c r="D18" t="str">
        <x:v>Additional 15</x:v>
      </x:c>
      <x:c r="E18" s="8" t="n">
        <x:v>25000</x:v>
      </x:c>
      <x:c r="F18" s="8" t="n">
        <x:v>6845</x:v>
      </x:c>
      <x:c r="G18" t="n">
        <x:v>43</x:v>
      </x:c>
      <x:c r="H18" s="8" t="n">
        <x:f>E18-F18</x:f>
        <x:v>18155</x:v>
      </x:c>
      <x:c r="I18" s="10" t="n">
        <x:f>IFERROR(F18/E18,0)</x:f>
        <x:v>0.2738</x:v>
      </x:c>
      <x:c r="J18" s="12" t="n">
        <x:f>IFERROR(F18/G18,0)</x:f>
        <x:v>159.1860465116279</x:v>
      </x:c>
    </x:row>
    <x:row r="19">
      <x:c r="A19" t="n">
        <x:v>18</x:v>
      </x:c>
      <x:c r="B19" t="str">
        <x:v>Community</x:v>
      </x:c>
      <x:c r="C19" t="str">
        <x:v>Claybourne Street Garden</x:v>
      </x:c>
      <x:c r="D19" t="str">
        <x:v>Additional 15</x:v>
      </x:c>
      <x:c r="E19" s="8" t="n">
        <x:v>1300</x:v>
      </x:c>
      <x:c r="F19" s="8" t="n">
        <x:v>865</x:v>
      </x:c>
      <x:c r="G19" t="n">
        <x:v>12</x:v>
      </x:c>
      <x:c r="H19" s="8" t="n">
        <x:f>E19-F19</x:f>
        <x:v>435</x:v>
      </x:c>
      <x:c r="I19" s="10" t="n">
        <x:f>IFERROR(F19/E19,0)</x:f>
        <x:v>0.6653846153846154</x:v>
      </x:c>
      <x:c r="J19" s="12" t="n">
        <x:f>IFERROR(F19/G19,0)</x:f>
        <x:v>72.08333333333333</x:v>
      </x:c>
    </x:row>
    <x:row r="20">
      <x:c r="A20" t="n">
        <x:v>19</x:v>
      </x:c>
      <x:c r="B20" t="str">
        <x:v>Creative</x:v>
      </x:c>
      <x:c r="C20" t="str">
        <x:v>GROW WINGS Film</x:v>
      </x:c>
      <x:c r="D20" t="str">
        <x:v>Additional 15</x:v>
      </x:c>
      <x:c r="E20" s="8" t="n">
        <x:v>40000</x:v>
      </x:c>
      <x:c r="F20" s="8" t="n">
        <x:v>1944</x:v>
      </x:c>
      <x:c r="G20" t="n">
        <x:v>18</x:v>
      </x:c>
      <x:c r="H20" s="8" t="n">
        <x:f>E20-F20</x:f>
        <x:v>38056</x:v>
      </x:c>
      <x:c r="I20" s="10" t="n">
        <x:f>IFERROR(F20/E20,0)</x:f>
        <x:v>0.0486</x:v>
      </x:c>
      <x:c r="J20" s="12" t="n">
        <x:f>IFERROR(F20/G20,0)</x:f>
        <x:v>108</x:v>
      </x:c>
    </x:row>
    <x:row r="21">
      <x:c r="A21" t="n">
        <x:v>20</x:v>
      </x:c>
      <x:c r="B21" t="str">
        <x:v>Creative</x:v>
      </x:c>
      <x:c r="C21" t="str">
        <x:v>Catharsis Film</x:v>
      </x:c>
      <x:c r="D21" t="str">
        <x:v>Additional 15</x:v>
      </x:c>
      <x:c r="E21" s="8" t="n">
        <x:v>5000</x:v>
      </x:c>
      <x:c r="F21" s="8" t="n">
        <x:v>2945</x:v>
      </x:c>
      <x:c r="G21" t="n">
        <x:v>44</x:v>
      </x:c>
      <x:c r="H21" s="8" t="n">
        <x:f>E21-F21</x:f>
        <x:v>2055</x:v>
      </x:c>
      <x:c r="I21" s="10" t="n">
        <x:f>IFERROR(F21/E21,0)</x:f>
        <x:v>0.589</x:v>
      </x:c>
      <x:c r="J21" s="12" t="n">
        <x:f>IFERROR(F21/G21,0)</x:f>
        <x:v>66.93181818181819</x:v>
      </x:c>
    </x:row>
    <x:row r="22">
      <x:c r="A22" t="n">
        <x:v>21</x:v>
      </x:c>
      <x:c r="B22" t="str">
        <x:v>Creative</x:v>
      </x:c>
      <x:c r="C22" t="str">
        <x:v>Party's Over Film</x:v>
      </x:c>
      <x:c r="D22" t="str">
        <x:v>Additional 15</x:v>
      </x:c>
      <x:c r="E22" s="8" t="n">
        <x:v>850</x:v>
      </x:c>
      <x:c r="F22" s="8" t="n">
        <x:v>360</x:v>
      </x:c>
      <x:c r="G22" t="n">
        <x:v>11</x:v>
      </x:c>
      <x:c r="H22" s="8" t="n">
        <x:f>E22-F22</x:f>
        <x:v>490</x:v>
      </x:c>
      <x:c r="I22" s="10" t="n">
        <x:f>IFERROR(F22/E22,0)</x:f>
        <x:v>0.4235294117647059</x:v>
      </x:c>
      <x:c r="J22" s="12" t="n">
        <x:f>IFERROR(F22/G22,0)</x:f>
        <x:v>32.72727272727273</x:v>
      </x:c>
    </x:row>
    <x:row r="23">
      <x:c r="A23" t="n">
        <x:v>22</x:v>
      </x:c>
      <x:c r="B23" t="str">
        <x:v>Sports</x:v>
      </x:c>
      <x:c r="C23" t="str">
        <x:v>Communities Through Soccer</x:v>
      </x:c>
      <x:c r="D23" t="str">
        <x:v>Additional 15</x:v>
      </x:c>
      <x:c r="E23" s="8" t="n">
        <x:v>235000</x:v>
      </x:c>
      <x:c r="F23" s="8" t="n">
        <x:v>231362</x:v>
      </x:c>
      <x:c r="G23" t="n">
        <x:v>98</x:v>
      </x:c>
      <x:c r="H23" s="8" t="n">
        <x:f>E23-F23</x:f>
        <x:v>3638</x:v>
      </x:c>
      <x:c r="I23" s="10" t="n">
        <x:f>IFERROR(F23/E23,0)</x:f>
        <x:v>0.9845191489361702</x:v>
      </x:c>
      <x:c r="J23" s="12" t="n">
        <x:f>IFERROR(F23/G23,0)</x:f>
        <x:v>2360.8367346938776</x:v>
      </x:c>
    </x:row>
    <x:row r="24">
      <x:c r="A24" t="n">
        <x:v>23</x:v>
      </x:c>
      <x:c r="B24" t="str">
        <x:v>Sports</x:v>
      </x:c>
      <x:c r="C24" t="str">
        <x:v>International Tournament</x:v>
      </x:c>
      <x:c r="D24" t="str">
        <x:v>Additional 15</x:v>
      </x:c>
      <x:c r="E24" s="8" t="n">
        <x:v>30000</x:v>
      </x:c>
      <x:c r="F24" s="8" t="n">
        <x:v>4745</x:v>
      </x:c>
      <x:c r="G24" t="n">
        <x:v>30</x:v>
      </x:c>
      <x:c r="H24" s="8" t="n">
        <x:f>E24-F24</x:f>
        <x:v>25255</x:v>
      </x:c>
      <x:c r="I24" s="10" t="n">
        <x:f>IFERROR(F24/E24,0)</x:f>
        <x:v>0.15816666666666668</x:v>
      </x:c>
      <x:c r="J24" s="12" t="n">
        <x:f>IFERROR(F24/G24,0)</x:f>
        <x:v>158.16666666666666</x:v>
      </x:c>
    </x:row>
    <x:row r="25">
      <x:c r="A25" t="n">
        <x:v>24</x:v>
      </x:c>
      <x:c r="B25" t="str">
        <x:v>Sports</x:v>
      </x:c>
      <x:c r="C25" t="str">
        <x:v>Florida Soccer Tournament</x:v>
      </x:c>
      <x:c r="D25" t="str">
        <x:v>Additional 15</x:v>
      </x:c>
      <x:c r="E25" s="8" t="n">
        <x:v>10000</x:v>
      </x:c>
      <x:c r="F25" s="8" t="n">
        <x:v>7353</x:v>
      </x:c>
      <x:c r="G25" t="n">
        <x:v>19</x:v>
      </x:c>
      <x:c r="H25" s="8" t="n">
        <x:f>E25-F25</x:f>
        <x:v>2647</x:v>
      </x:c>
      <x:c r="I25" s="10" t="n">
        <x:f>IFERROR(F25/E25,0)</x:f>
        <x:v>0.7353</x:v>
      </x:c>
      <x:c r="J25" s="12" t="n">
        <x:f>IFERROR(F25/G25,0)</x:f>
        <x:v>387</x:v>
      </x:c>
    </x:row>
    <x:row r="26">
      <x:c r="A26" t="n">
        <x:v>25</x:v>
      </x:c>
      <x:c r="B26" t="str">
        <x:v>Small business</x:v>
      </x:c>
      <x:c r="C26" t="str">
        <x:v>Help Our Small Business Survive</x:v>
      </x:c>
      <x:c r="D26" t="str">
        <x:v>Additional 15</x:v>
      </x:c>
      <x:c r="E26" s="8" t="n">
        <x:v>15000</x:v>
      </x:c>
      <x:c r="F26" s="8" t="n">
        <x:v>5360</x:v>
      </x:c>
      <x:c r="G26" t="n">
        <x:v>53</x:v>
      </x:c>
      <x:c r="H26" s="8" t="n">
        <x:f>E26-F26</x:f>
        <x:v>9640</x:v>
      </x:c>
      <x:c r="I26" s="10" t="n">
        <x:f>IFERROR(F26/E26,0)</x:f>
        <x:v>0.35733333333333334</x:v>
      </x:c>
      <x:c r="J26" s="12" t="n">
        <x:f>IFERROR(F26/G26,0)</x:f>
        <x:v>101.13207547169812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45" hidden="0" customWidth="1"/>
    <x:col min="2" max="2" width="19" hidden="0" customWidth="1"/>
    <x:col min="3" max="3" width="19" hidden="0" customWidth="1"/>
    <x:col min="4" max="4" width="19" hidden="0" customWidth="1"/>
    <x:col min="6" max="6" width="17" hidden="0" customWidth="1"/>
    <x:col min="7" max="7" width="17" hidden="0" customWidth="1"/>
  </x:cols>
  <x:sheetData>
    <x:row r="1" ht="27" customHeight="1">
      <x:c r="A1" s="3" t="str">
        <x:v>Correlation (Pearson r)</x:v>
      </x:c>
      <x:c r="B1" s="3" t="str">
        <x:v>All 25</x:v>
      </x:c>
      <x:c r="C1" s="3" t="str">
        <x:v>First 10</x:v>
      </x:c>
      <x:c r="D1" s="3" t="str">
        <x:v>Additional 15</x:v>
      </x:c>
    </x:row>
    <x:row r="2">
      <x:c r="A2" t="str">
        <x:v>Raised vs. distance to goal</x:v>
      </x:c>
      <x:c r="B2" s="16" t="n">
        <x:f>CORREL('Campaign Data'!F2:F26,'Campaign Data'!H2:H26)</x:f>
        <x:v>0.019880578488698668</x:v>
      </x:c>
      <x:c r="C2" s="16" t="n">
        <x:f>CORREL('Campaign Data'!F2:F11,'Campaign Data'!H2:H11)</x:f>
        <x:v>0.14712138462248595</x:v>
      </x:c>
      <x:c r="D2" s="16" t="n">
        <x:f>CORREL('Campaign Data'!F12:F26,'Campaign Data'!H12:H26)</x:f>
        <x:v>-0.11853953131455104</x:v>
      </x:c>
    </x:row>
    <x:row r="3">
      <x:c r="A3" t="str">
        <x:v>Raised vs. donations</x:v>
      </x:c>
      <x:c r="B3" s="16" t="n">
        <x:f>CORREL('Campaign Data'!F2:F26,'Campaign Data'!G2:G26)</x:f>
        <x:v>0.39894489295443225</x:v>
      </x:c>
      <x:c r="C3" s="16" t="n">
        <x:f>CORREL('Campaign Data'!F2:F11,'Campaign Data'!G2:G11)</x:f>
        <x:v>0.978491518732649</x:v>
      </x:c>
      <x:c r="D3" s="16" t="n">
        <x:f>CORREL('Campaign Data'!F12:F26,'Campaign Data'!G12:G26)</x:f>
        <x:v>0.2061026859494626</x:v>
      </x:c>
    </x:row>
    <x:row r="4">
      <x:c r="A4" t="str">
        <x:v>Raised vs. goal</x:v>
      </x:c>
      <x:c r="B4" s="16" t="n">
        <x:f>CORREL('Campaign Data'!F2:F26,'Campaign Data'!E2:E26)</x:f>
        <x:v>0.5980145387970801</x:v>
      </x:c>
      <x:c r="C4" s="16" t="n">
        <x:f>CORREL('Campaign Data'!F2:F11,'Campaign Data'!E2:E11)</x:f>
        <x:v>0.4164132325046935</x:v>
      </x:c>
      <x:c r="D4" s="16" t="n">
        <x:f>CORREL('Campaign Data'!F12:F26,'Campaign Data'!E12:E26)</x:f>
        <x:v>0.9831042888494623</x:v>
      </x:c>
    </x:row>
    <x:row r="5">
      <x:c r="A5" t="str">
        <x:v>Raised vs. goal achieved (%)</x:v>
      </x:c>
      <x:c r="B5" s="16" t="n">
        <x:f>CORREL('Campaign Data'!F2:F26,'Campaign Data'!I2:I26)</x:f>
        <x:v>0.4186080396280098</x:v>
      </x:c>
      <x:c r="C5" s="16" t="n">
        <x:f>CORREL('Campaign Data'!F2:F11,'Campaign Data'!I2:I11)</x:f>
        <x:v>0.19687603898531672</x:v>
      </x:c>
      <x:c r="D5" s="16" t="n">
        <x:f>CORREL('Campaign Data'!F12:F26,'Campaign Data'!I12:I26)</x:f>
        <x:v>0.5362641723944682</x:v>
      </x:c>
    </x:row>
    <x:row r="7">
      <x:c r="A7" t="str">
        <x:v>Outlier check (additional 15 only)</x:v>
      </x:c>
    </x:row>
    <x:row r="8">
      <x:c r="A8" t="str">
        <x:v>Raised vs. donations, excluding soccer campaign</x:v>
      </x:c>
      <x:c r="B8" s="16" t="n">
        <x:f>CORREL(F13:F26,G13:G26)</x:f>
        <x:v>0.9739418542608693</x:v>
      </x:c>
    </x:row>
    <x:row r="10">
      <x:c r="A10" t="str">
        <x:v>Interpretation</x:v>
      </x:c>
    </x:row>
    <x:row r="11">
      <x:c r="A11" t="str">
        <x:v>Near 0: little linear relationship. Positive: variables tend to increase together. Negative: they move in opposite directions.</x:v>
      </x:c>
    </x:row>
    <x:row r="12">
      <x:c r="F12" s="14" t="str">
        <x:v>Donations</x:v>
      </x:c>
      <x:c r="G12" s="14" t="str">
        <x:v>Raised ($)</x:v>
      </x:c>
    </x:row>
    <x:row r="13">
      <x:c r="F13" t="n">
        <x:f>'Campaign Data'!G12</x:f>
        <x:v>5</x:v>
      </x:c>
      <x:c r="G13" t="n">
        <x:f>'Campaign Data'!F12</x:f>
        <x:v>185</x:v>
      </x:c>
    </x:row>
    <x:row r="14">
      <x:c r="F14" t="n">
        <x:f>'Campaign Data'!G13</x:f>
        <x:v>40</x:v>
      </x:c>
      <x:c r="G14" t="n">
        <x:f>'Campaign Data'!F13</x:f>
        <x:v>4100</x:v>
      </x:c>
    </x:row>
    <x:row r="15">
      <x:c r="F15" t="n">
        <x:f>'Campaign Data'!G14</x:f>
        <x:v>11</x:v>
      </x:c>
      <x:c r="G15" t="n">
        <x:f>'Campaign Data'!F14</x:f>
        <x:v>1549</x:v>
      </x:c>
    </x:row>
    <x:row r="16">
      <x:c r="F16" t="n">
        <x:f>'Campaign Data'!G15</x:f>
        <x:v>151</x:v>
      </x:c>
      <x:c r="G16" t="n">
        <x:f>'Campaign Data'!F15</x:f>
        <x:v>15300</x:v>
      </x:c>
    </x:row>
    <x:row r="17">
      <x:c r="F17" t="n">
        <x:f>'Campaign Data'!G16</x:f>
        <x:v>478</x:v>
      </x:c>
      <x:c r="G17" t="n">
        <x:f>'Campaign Data'!F16</x:f>
        <x:v>33697</x:v>
      </x:c>
    </x:row>
    <x:row r="18">
      <x:c r="F18" t="n">
        <x:f>'Campaign Data'!G17</x:f>
        <x:v>27</x:v>
      </x:c>
      <x:c r="G18" t="n">
        <x:f>'Campaign Data'!F17</x:f>
        <x:v>2878</x:v>
      </x:c>
    </x:row>
    <x:row r="19">
      <x:c r="F19" t="n">
        <x:f>'Campaign Data'!G18</x:f>
        <x:v>43</x:v>
      </x:c>
      <x:c r="G19" t="n">
        <x:f>'Campaign Data'!F18</x:f>
        <x:v>6845</x:v>
      </x:c>
    </x:row>
    <x:row r="20">
      <x:c r="F20" t="n">
        <x:f>'Campaign Data'!G19</x:f>
        <x:v>12</x:v>
      </x:c>
      <x:c r="G20" t="n">
        <x:f>'Campaign Data'!F19</x:f>
        <x:v>865</x:v>
      </x:c>
    </x:row>
    <x:row r="21">
      <x:c r="F21" t="n">
        <x:f>'Campaign Data'!G20</x:f>
        <x:v>18</x:v>
      </x:c>
      <x:c r="G21" t="n">
        <x:f>'Campaign Data'!F20</x:f>
        <x:v>1944</x:v>
      </x:c>
    </x:row>
    <x:row r="22">
      <x:c r="F22" t="n">
        <x:f>'Campaign Data'!G21</x:f>
        <x:v>44</x:v>
      </x:c>
      <x:c r="G22" t="n">
        <x:f>'Campaign Data'!F21</x:f>
        <x:v>2945</x:v>
      </x:c>
    </x:row>
    <x:row r="23">
      <x:c r="F23" t="n">
        <x:f>'Campaign Data'!G22</x:f>
        <x:v>11</x:v>
      </x:c>
      <x:c r="G23" t="n">
        <x:f>'Campaign Data'!F22</x:f>
        <x:v>360</x:v>
      </x:c>
    </x:row>
    <x:row r="24">
      <x:c r="F24" t="n">
        <x:f>'Campaign Data'!G24</x:f>
        <x:v>30</x:v>
      </x:c>
      <x:c r="G24" t="n">
        <x:f>'Campaign Data'!F24</x:f>
        <x:v>4745</x:v>
      </x:c>
    </x:row>
    <x:row r="25">
      <x:c r="F25" t="n">
        <x:f>'Campaign Data'!G25</x:f>
        <x:v>19</x:v>
      </x:c>
      <x:c r="G25" t="n">
        <x:f>'Campaign Data'!F25</x:f>
        <x:v>7353</x:v>
      </x:c>
    </x:row>
    <x:row r="26">
      <x:c r="F26" t="n">
        <x:f>'Campaign Data'!G26</x:f>
        <x:v>53</x:v>
      </x:c>
      <x:c r="G26" t="n">
        <x:f>'Campaign Data'!F26</x:f>
        <x:v>5360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93" hidden="0" customWidth="1"/>
  </x:cols>
  <x:sheetData>
    <x:row r="1" ht="25" customHeight="1">
      <x:c r="A1" s="3" t="str">
        <x:v>Item</x:v>
      </x:c>
      <x:c r="B1" s="3" t="str">
        <x:v>Detail</x:v>
      </x:c>
    </x:row>
    <x:row r="2" ht="36" customHeight="1">
      <x:c r="A2" t="str">
        <x:v>Assignment</x:v>
      </x:c>
      <x:c r="B2" s="18" t="str">
        <x:v>Module 2, Discussion 3: Basic Online Metrics</x:v>
      </x:c>
    </x:row>
    <x:row r="3" ht="36" customHeight="1">
      <x:c r="A3" t="str">
        <x:v>Research period</x:v>
      </x:c>
      <x:c r="B3" s="18" t="str">
        <x:v>October 2026</x:v>
      </x:c>
    </x:row>
    <x:row r="4" ht="36" customHeight="1">
      <x:c r="A4" t="str">
        <x:v>Data</x:v>
      </x:c>
      <x:c r="B4" s="18" t="str">
        <x:v>25 manually selected GoFundMe campaigns from earlier research notes.</x:v>
      </x:c>
    </x:row>
    <x:row r="5" ht="36" customHeight="1">
      <x:c r="A5" t="str">
        <x:v>Selection</x:v>
      </x:c>
      <x:c r="B5" s="18" t="str">
        <x:v>All observations were below their displayed goals at capture. Non-random sample.</x:v>
      </x:c>
    </x:row>
    <x:row r="6" ht="36" customHeight="1">
      <x:c r="A6" t="str">
        <x:v>Source verification</x:v>
      </x:c>
      <x:c r="B6" s="18" t="str">
        <x:v>Individual campaign URLs not preserved in the source worksheet; verify against the live pages before citing or publishing as independently validated.</x:v>
      </x:c>
    </x:row>
    <x:row r="7" ht="36" customHeight="1">
      <x:c r="A7" t="str">
        <x:v>Distance to goal</x:v>
      </x:c>
      <x:c r="B7" s="18" t="str">
        <x:v>Goal minus amount raised.</x:v>
      </x:c>
    </x:row>
    <x:row r="8" ht="36" customHeight="1">
      <x:c r="A8" t="str">
        <x:v>Goal achieved</x:v>
      </x:c>
      <x:c r="B8" s="18" t="str">
        <x:v>Amount raised divided by goal.</x:v>
      </x:c>
    </x:row>
    <x:row r="9" ht="36" customHeight="1">
      <x:c r="A9" t="str">
        <x:v>Average donation</x:v>
      </x:c>
      <x:c r="B9" s="18" t="str">
        <x:v>Amount raised divided by number of donations.</x:v>
      </x:c>
    </x:row>
    <x:row r="10" ht="36" customHeight="1">
      <x:c r="A10" t="str">
        <x:v>Correlation</x:v>
      </x:c>
      <x:c r="B10" s="18" t="str">
        <x:v>Excel CORREL gives Pearson linear correlation coefficient.</x:v>
      </x:c>
    </x:row>
    <x:row r="11" ht="36" customHeight="1">
      <x:c r="A11" t="str">
        <x:v>Limitations</x:v>
      </x:c>
      <x:c r="B11" s="18" t="str">
        <x:v>Different campaign ages, targets, donation patterns and a significant outlier affect comparisons.</x:v>
      </x:c>
    </x:row>
    <x:row r="12" ht="36" customHeight="1">
      <x:c r="A12" t="str">
        <x:v>Causation</x:v>
      </x:c>
      <x:c r="B12" s="18" t="str">
        <x:v>Correlations alone do not establish causation.</x:v>
      </x:c>
    </x:row>
    <x:row r="13" ht="36" customHeight="1">
      <x:c r="A13" t="str">
        <x:v>Outlier</x:v>
      </x:c>
      <x:c r="B13" s="18" t="str">
        <x:v>The additional-sample soccer campaign is omitted from the small helper table in the Correlations sheet.</x:v>
      </x:c>
    </x:row>
  </x:sheetData>
  <x:pageMargins left="0.7" right="0.7" top="0.75" bottom="0.75" header="0.3" footer="0.3"/>
</x:worksheet>
</file>