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eyx\Downloads\Module_2_Discussion_3_Basic_Online_Metrics\Module 2, Discussion 3_ Basic Online Metrics\"/>
    </mc:Choice>
  </mc:AlternateContent>
  <xr:revisionPtr revIDLastSave="0" documentId="13_ncr:1_{CDE31845-9AAC-4BD5-9C5F-9A4052FA189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Campaign Data" sheetId="1" r:id="rId1"/>
    <sheet name="Correl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B4" i="2"/>
  <c r="B3" i="2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G2" i="1"/>
  <c r="B2" i="2" s="1"/>
  <c r="B5" i="2" l="1"/>
</calcChain>
</file>

<file path=xl/sharedStrings.xml><?xml version="1.0" encoding="utf-8"?>
<sst xmlns="http://schemas.openxmlformats.org/spreadsheetml/2006/main" count="95" uniqueCount="77">
  <si>
    <t>ID</t>
  </si>
  <si>
    <t>Category</t>
  </si>
  <si>
    <t>Campaign</t>
  </si>
  <si>
    <t>Goal ($)</t>
  </si>
  <si>
    <t>Raised ($)</t>
  </si>
  <si>
    <t>Donations</t>
  </si>
  <si>
    <t>Distance to goal ($)</t>
  </si>
  <si>
    <t>Goal achieved (%)</t>
  </si>
  <si>
    <t>Average donation ($)</t>
  </si>
  <si>
    <t>Fire recovery</t>
  </si>
  <si>
    <t>Jessica &amp; Paul – Fire Recovery</t>
  </si>
  <si>
    <t>Rebuild After House Fire</t>
  </si>
  <si>
    <t>Animal rescue</t>
  </si>
  <si>
    <t>Cleaning, Repairs &amp; Vet Care</t>
  </si>
  <si>
    <t>Dolan &amp; Jennifer – Fire Recovery</t>
  </si>
  <si>
    <t>Every Animal Deserves a Rescue</t>
  </si>
  <si>
    <t>Medical</t>
  </si>
  <si>
    <t>Rally Around Haley</t>
  </si>
  <si>
    <t>Family Starting Over After Fire</t>
  </si>
  <si>
    <t>Vet Care for Rescued Cats</t>
  </si>
  <si>
    <t>Forgotten Paws Dog Rescue</t>
  </si>
  <si>
    <t>Family After the Fire</t>
  </si>
  <si>
    <t>Education</t>
  </si>
  <si>
    <t>College Tuition Goal</t>
  </si>
  <si>
    <t>Education and Tuition</t>
  </si>
  <si>
    <t>Daughter's Dream College</t>
  </si>
  <si>
    <t>Memorial</t>
  </si>
  <si>
    <t>Memorial and Funeral</t>
  </si>
  <si>
    <t>Bryan's Memorial Services</t>
  </si>
  <si>
    <t>Community</t>
  </si>
  <si>
    <t>Grow Our Community Garden</t>
  </si>
  <si>
    <t>Good Prospect Garden</t>
  </si>
  <si>
    <t>Claybourne Street Garden</t>
  </si>
  <si>
    <t>Creative</t>
  </si>
  <si>
    <t>GROW WINGS Film</t>
  </si>
  <si>
    <t>Catharsis Film</t>
  </si>
  <si>
    <t>Party's Over Film</t>
  </si>
  <si>
    <t>Sports</t>
  </si>
  <si>
    <t>Communities Through Soccer</t>
  </si>
  <si>
    <t>International Tournament</t>
  </si>
  <si>
    <t>Florida Soccer Tournament</t>
  </si>
  <si>
    <t>Small business</t>
  </si>
  <si>
    <t>Help Our Small Business Survive</t>
  </si>
  <si>
    <t>Correlation (Pearson r)</t>
  </si>
  <si>
    <t>All 25</t>
  </si>
  <si>
    <t>Raised vs. distance to goal</t>
  </si>
  <si>
    <t>Raised vs. donations</t>
  </si>
  <si>
    <t>Raised vs. goal</t>
  </si>
  <si>
    <t>Raised vs. goal achieved (%)</t>
  </si>
  <si>
    <t>Interpretation</t>
  </si>
  <si>
    <t>Near 0: little linear relationship. Positive: variables tend to increase together. Negative: they move in opposite directions.</t>
  </si>
  <si>
    <t>Campaign URL</t>
  </si>
  <si>
    <t>https://www.gofundme.com/f/rebuilding-life-after-the-fire-for-jessica-pauls-family</t>
  </si>
  <si>
    <t>https://www.gofundme.com/f/help-rebuild-after-house-fire-e89u5</t>
  </si>
  <si>
    <t>https://www.gofundme.com/f/cleaning-repairs-and-vet-care-after-the-fire-utzgz</t>
  </si>
  <si>
    <t>https://www.gofundme.com/f/support-for-dolan-and-jennifer-after-the-fire</t>
  </si>
  <si>
    <t>https://www.gofundme.com/f/every-animal-deserves-a-rescue-story</t>
  </si>
  <si>
    <t>https://www.gofundme.com/f/28-and-facing-the-unthinkable-rally-around-haley-f2xzd</t>
  </si>
  <si>
    <t>https://www.gofundme.com/f/support-a-family-starting-over-after-a-fire</t>
  </si>
  <si>
    <t>https://www.gofundme.com/f/support-vet-care-for-rescued-cats-and-kittens-tnnk6</t>
  </si>
  <si>
    <t>https://www.gofundme.com/f/help-us-save-forgotten-paws-dog-rescue</t>
  </si>
  <si>
    <t>https://www.gofundme.com/f/support-for-our-family-after-the-fire-ndkpd</t>
  </si>
  <si>
    <t>https://www.gofundme.com/f/help-me-reach-my-college-tuition-goal-ee26h</t>
  </si>
  <si>
    <t>https://www.gofundme.com/f/my-education-and-tuition-goals</t>
  </si>
  <si>
    <t>https://www.gofundme.com/f/help-my-daughter-attend-her-dream-college-4q72y</t>
  </si>
  <si>
    <t>https://www.gofundme.com/f/np488-memorial-and-funeral</t>
  </si>
  <si>
    <t>https://www.gofundme.com/f/support-bryans-funeral-and-memorial-services</t>
  </si>
  <si>
    <t>https://www.gofundme.com/f/help-grow-fairviews-community-garden</t>
  </si>
  <si>
    <t>https://www.gofundme.com/f/help-us-grow-expand-and-improve-the-community-garden</t>
  </si>
  <si>
    <t>https://www.gofundme.com/f/help-bring-grow-wings-to-life</t>
  </si>
  <si>
    <t>https://www.gofundme.com/f/catharsis-film</t>
  </si>
  <si>
    <t>https://www.gofundme.com/f/support-i-think-the-partys-over-film-production</t>
  </si>
  <si>
    <t>https://www.gofundme.com/f/help-us-connect-our-communities-through-sport</t>
  </si>
  <si>
    <t>https://www.gofundme.com/f/help-send-our-team-to-an-international-tournament</t>
  </si>
  <si>
    <t>https://www.gofundme.com/f/help-our-soccer-team-reach-florida-tournament</t>
  </si>
  <si>
    <t>https://www.gofundme.com/f/8p8syj-help-our-small-business-survive</t>
  </si>
  <si>
    <t>https://www.gofundme.com/f/help-the-claybourne-street-community-garden-grow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</si>
</sst>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\$#,##0.00"/>
    <numFmt numFmtId="167" formatCode="0.000"/>
  </numFmts>
  <fonts count="5">
    <font>
      <sz val="11"/>
      <name val="Carlito"/>
    </font>
    <font>
      <b/>
      <sz val="11"/>
      <color rgb="FF222222"/>
      <name val="Carlito"/>
    </font>
    <font>
      <b/>
      <sz val="11"/>
      <name val="Carlito"/>
    </font>
    <font>
      <sz val="11"/>
      <color rgb="FF000000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2" borderId="0" xfId="0" applyFont="1" applyFill="1"/>
    <xf numFmtId="167" fontId="0" fillId="0" borderId="0" xfId="0" applyNumberFormat="1"/>
    <xf numFmtId="0" fontId="3" fillId="0" borderId="1" xfId="0" applyFont="1" applyBorder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fundme.com/f/help-the-claybourne-street-community-garden-gr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pane ySplit="1" topLeftCell="A2" activePane="bottomLeft" state="frozen"/>
      <selection pane="bottomLeft" activeCell="C17" sqref="C17"/>
    </sheetView>
  </sheetViews>
  <sheetFormatPr defaultRowHeight="13.5"/>
  <cols>
    <col min="1" max="1" width="7" customWidth="1"/>
    <col min="2" max="2" width="21" customWidth="1"/>
    <col min="3" max="3" width="43" customWidth="1"/>
    <col min="4" max="7" width="17" customWidth="1"/>
    <col min="8" max="9" width="18" customWidth="1"/>
    <col min="10" max="10" width="31.75" customWidth="1"/>
  </cols>
  <sheetData>
    <row r="1" spans="1:10" ht="2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51</v>
      </c>
    </row>
    <row r="2" spans="1:10">
      <c r="A2">
        <v>1</v>
      </c>
      <c r="B2" t="s">
        <v>9</v>
      </c>
      <c r="C2" t="s">
        <v>10</v>
      </c>
      <c r="D2" s="3">
        <v>170000</v>
      </c>
      <c r="E2" s="3">
        <v>103923</v>
      </c>
      <c r="F2">
        <v>442</v>
      </c>
      <c r="G2" s="3">
        <f t="shared" ref="G2:G26" si="0">D2-E2</f>
        <v>66077</v>
      </c>
      <c r="H2" s="4">
        <f t="shared" ref="H2:H26" si="1">IFERROR(E2/D2,0)</f>
        <v>0.61131176470588233</v>
      </c>
      <c r="I2" s="5">
        <f t="shared" ref="I2:I26" si="2">IFERROR(E2/F2,0)</f>
        <v>235.11990950226243</v>
      </c>
      <c r="J2" s="8" t="s">
        <v>52</v>
      </c>
    </row>
    <row r="3" spans="1:10">
      <c r="A3">
        <v>2</v>
      </c>
      <c r="B3" t="s">
        <v>9</v>
      </c>
      <c r="C3" t="s">
        <v>11</v>
      </c>
      <c r="D3" s="3">
        <v>22000</v>
      </c>
      <c r="E3" s="3">
        <v>1050</v>
      </c>
      <c r="F3">
        <v>6</v>
      </c>
      <c r="G3" s="3">
        <f t="shared" si="0"/>
        <v>20950</v>
      </c>
      <c r="H3" s="4">
        <f t="shared" si="1"/>
        <v>4.7727272727272729E-2</v>
      </c>
      <c r="I3" s="5">
        <f t="shared" si="2"/>
        <v>175</v>
      </c>
      <c r="J3" s="8" t="s">
        <v>53</v>
      </c>
    </row>
    <row r="4" spans="1:10">
      <c r="A4">
        <v>3</v>
      </c>
      <c r="B4" t="s">
        <v>12</v>
      </c>
      <c r="C4" t="s">
        <v>13</v>
      </c>
      <c r="D4" s="3">
        <v>25000</v>
      </c>
      <c r="E4" s="3">
        <v>5980</v>
      </c>
      <c r="F4">
        <v>11</v>
      </c>
      <c r="G4" s="3">
        <f t="shared" si="0"/>
        <v>19020</v>
      </c>
      <c r="H4" s="4">
        <f t="shared" si="1"/>
        <v>0.2392</v>
      </c>
      <c r="I4" s="5">
        <f t="shared" si="2"/>
        <v>543.63636363636363</v>
      </c>
      <c r="J4" s="8" t="s">
        <v>54</v>
      </c>
    </row>
    <row r="5" spans="1:10">
      <c r="A5">
        <v>4</v>
      </c>
      <c r="B5" t="s">
        <v>9</v>
      </c>
      <c r="C5" t="s">
        <v>14</v>
      </c>
      <c r="D5" s="3">
        <v>3500</v>
      </c>
      <c r="E5" s="3">
        <v>450</v>
      </c>
      <c r="F5">
        <v>3</v>
      </c>
      <c r="G5" s="3">
        <f t="shared" si="0"/>
        <v>3050</v>
      </c>
      <c r="H5" s="4">
        <f t="shared" si="1"/>
        <v>0.12857142857142856</v>
      </c>
      <c r="I5" s="5">
        <f t="shared" si="2"/>
        <v>150</v>
      </c>
      <c r="J5" s="8" t="s">
        <v>55</v>
      </c>
    </row>
    <row r="6" spans="1:10">
      <c r="A6">
        <v>5</v>
      </c>
      <c r="B6" t="s">
        <v>12</v>
      </c>
      <c r="C6" t="s">
        <v>15</v>
      </c>
      <c r="D6" s="3">
        <v>2000</v>
      </c>
      <c r="E6" s="3">
        <v>1256</v>
      </c>
      <c r="F6">
        <v>16</v>
      </c>
      <c r="G6" s="3">
        <f t="shared" si="0"/>
        <v>744</v>
      </c>
      <c r="H6" s="4">
        <f t="shared" si="1"/>
        <v>0.628</v>
      </c>
      <c r="I6" s="5">
        <f t="shared" si="2"/>
        <v>78.5</v>
      </c>
      <c r="J6" s="8" t="s">
        <v>56</v>
      </c>
    </row>
    <row r="7" spans="1:10">
      <c r="A7">
        <v>6</v>
      </c>
      <c r="B7" t="s">
        <v>16</v>
      </c>
      <c r="C7" t="s">
        <v>17</v>
      </c>
      <c r="D7" s="3">
        <v>75000</v>
      </c>
      <c r="E7" s="3">
        <v>12260</v>
      </c>
      <c r="F7">
        <v>23</v>
      </c>
      <c r="G7" s="3">
        <f t="shared" si="0"/>
        <v>62740</v>
      </c>
      <c r="H7" s="4">
        <f t="shared" si="1"/>
        <v>0.16346666666666668</v>
      </c>
      <c r="I7" s="5">
        <f t="shared" si="2"/>
        <v>533.04347826086962</v>
      </c>
      <c r="J7" s="8" t="s">
        <v>57</v>
      </c>
    </row>
    <row r="8" spans="1:10">
      <c r="A8">
        <v>7</v>
      </c>
      <c r="B8" t="s">
        <v>9</v>
      </c>
      <c r="C8" t="s">
        <v>18</v>
      </c>
      <c r="D8" s="3">
        <v>6500</v>
      </c>
      <c r="E8" s="3">
        <v>5613</v>
      </c>
      <c r="F8">
        <v>71</v>
      </c>
      <c r="G8" s="3">
        <f t="shared" si="0"/>
        <v>887</v>
      </c>
      <c r="H8" s="4">
        <f t="shared" si="1"/>
        <v>0.86353846153846159</v>
      </c>
      <c r="I8" s="5">
        <f t="shared" si="2"/>
        <v>79.056338028169009</v>
      </c>
      <c r="J8" s="8" t="s">
        <v>58</v>
      </c>
    </row>
    <row r="9" spans="1:10">
      <c r="A9">
        <v>8</v>
      </c>
      <c r="B9" t="s">
        <v>12</v>
      </c>
      <c r="C9" t="s">
        <v>19</v>
      </c>
      <c r="D9" s="3">
        <v>1600</v>
      </c>
      <c r="E9" s="3">
        <v>1410</v>
      </c>
      <c r="F9">
        <v>24</v>
      </c>
      <c r="G9" s="3">
        <f t="shared" si="0"/>
        <v>190</v>
      </c>
      <c r="H9" s="4">
        <f t="shared" si="1"/>
        <v>0.88124999999999998</v>
      </c>
      <c r="I9" s="5">
        <f t="shared" si="2"/>
        <v>58.75</v>
      </c>
      <c r="J9" s="8" t="s">
        <v>59</v>
      </c>
    </row>
    <row r="10" spans="1:10">
      <c r="A10">
        <v>9</v>
      </c>
      <c r="B10" t="s">
        <v>12</v>
      </c>
      <c r="C10" t="s">
        <v>20</v>
      </c>
      <c r="D10" s="3">
        <v>350000</v>
      </c>
      <c r="E10" s="3">
        <v>12075</v>
      </c>
      <c r="F10">
        <v>118</v>
      </c>
      <c r="G10" s="3">
        <f t="shared" si="0"/>
        <v>337925</v>
      </c>
      <c r="H10" s="4">
        <f t="shared" si="1"/>
        <v>3.4500000000000003E-2</v>
      </c>
      <c r="I10" s="5">
        <f t="shared" si="2"/>
        <v>102.33050847457628</v>
      </c>
      <c r="J10" s="8" t="s">
        <v>60</v>
      </c>
    </row>
    <row r="11" spans="1:10">
      <c r="A11">
        <v>10</v>
      </c>
      <c r="B11" t="s">
        <v>9</v>
      </c>
      <c r="C11" t="s">
        <v>21</v>
      </c>
      <c r="D11" s="3">
        <v>6000</v>
      </c>
      <c r="E11" s="3">
        <v>1630</v>
      </c>
      <c r="F11">
        <v>15</v>
      </c>
      <c r="G11" s="3">
        <f t="shared" si="0"/>
        <v>4370</v>
      </c>
      <c r="H11" s="4">
        <f t="shared" si="1"/>
        <v>0.27166666666666667</v>
      </c>
      <c r="I11" s="5">
        <f t="shared" si="2"/>
        <v>108.66666666666667</v>
      </c>
      <c r="J11" s="8" t="s">
        <v>61</v>
      </c>
    </row>
    <row r="12" spans="1:10">
      <c r="A12">
        <v>11</v>
      </c>
      <c r="B12" t="s">
        <v>22</v>
      </c>
      <c r="C12" t="s">
        <v>23</v>
      </c>
      <c r="D12" s="3">
        <v>1400</v>
      </c>
      <c r="E12" s="3">
        <v>185</v>
      </c>
      <c r="F12">
        <v>5</v>
      </c>
      <c r="G12" s="3">
        <f t="shared" si="0"/>
        <v>1215</v>
      </c>
      <c r="H12" s="4">
        <f t="shared" si="1"/>
        <v>0.13214285714285715</v>
      </c>
      <c r="I12" s="5">
        <f t="shared" si="2"/>
        <v>37</v>
      </c>
      <c r="J12" s="8" t="s">
        <v>62</v>
      </c>
    </row>
    <row r="13" spans="1:10">
      <c r="A13">
        <v>12</v>
      </c>
      <c r="B13" t="s">
        <v>22</v>
      </c>
      <c r="C13" t="s">
        <v>24</v>
      </c>
      <c r="D13" s="3">
        <v>8000</v>
      </c>
      <c r="E13" s="3">
        <v>4100</v>
      </c>
      <c r="F13">
        <v>40</v>
      </c>
      <c r="G13" s="3">
        <f t="shared" si="0"/>
        <v>3900</v>
      </c>
      <c r="H13" s="4">
        <f t="shared" si="1"/>
        <v>0.51249999999999996</v>
      </c>
      <c r="I13" s="5">
        <f t="shared" si="2"/>
        <v>102.5</v>
      </c>
      <c r="J13" s="8" t="s">
        <v>63</v>
      </c>
    </row>
    <row r="14" spans="1:10">
      <c r="A14">
        <v>13</v>
      </c>
      <c r="B14" t="s">
        <v>22</v>
      </c>
      <c r="C14" t="s">
        <v>25</v>
      </c>
      <c r="D14" s="3">
        <v>8000</v>
      </c>
      <c r="E14" s="3">
        <v>1549</v>
      </c>
      <c r="F14">
        <v>11</v>
      </c>
      <c r="G14" s="3">
        <f t="shared" si="0"/>
        <v>6451</v>
      </c>
      <c r="H14" s="4">
        <f t="shared" si="1"/>
        <v>0.19362499999999999</v>
      </c>
      <c r="I14" s="5">
        <f t="shared" si="2"/>
        <v>140.81818181818181</v>
      </c>
      <c r="J14" s="8" t="s">
        <v>64</v>
      </c>
    </row>
    <row r="15" spans="1:10">
      <c r="A15">
        <v>14</v>
      </c>
      <c r="B15" t="s">
        <v>26</v>
      </c>
      <c r="C15" t="s">
        <v>27</v>
      </c>
      <c r="D15" s="3">
        <v>25000</v>
      </c>
      <c r="E15" s="3">
        <v>15300</v>
      </c>
      <c r="F15">
        <v>151</v>
      </c>
      <c r="G15" s="3">
        <f t="shared" si="0"/>
        <v>9700</v>
      </c>
      <c r="H15" s="4">
        <f t="shared" si="1"/>
        <v>0.61199999999999999</v>
      </c>
      <c r="I15" s="5">
        <f t="shared" si="2"/>
        <v>101.32450331125828</v>
      </c>
      <c r="J15" s="8" t="s">
        <v>65</v>
      </c>
    </row>
    <row r="16" spans="1:10">
      <c r="A16">
        <v>15</v>
      </c>
      <c r="B16" t="s">
        <v>26</v>
      </c>
      <c r="C16" t="s">
        <v>28</v>
      </c>
      <c r="D16" s="3">
        <v>45000</v>
      </c>
      <c r="E16" s="3">
        <v>33697</v>
      </c>
      <c r="F16">
        <v>478</v>
      </c>
      <c r="G16" s="3">
        <f t="shared" si="0"/>
        <v>11303</v>
      </c>
      <c r="H16" s="4">
        <f t="shared" si="1"/>
        <v>0.74882222222222217</v>
      </c>
      <c r="I16" s="5">
        <f t="shared" si="2"/>
        <v>70.495815899581586</v>
      </c>
      <c r="J16" s="8" t="s">
        <v>66</v>
      </c>
    </row>
    <row r="17" spans="1:10">
      <c r="A17">
        <v>16</v>
      </c>
      <c r="B17" t="s">
        <v>29</v>
      </c>
      <c r="C17" t="s">
        <v>30</v>
      </c>
      <c r="D17" s="3">
        <v>3500</v>
      </c>
      <c r="E17" s="3">
        <v>2878</v>
      </c>
      <c r="F17">
        <v>27</v>
      </c>
      <c r="G17" s="3">
        <f t="shared" si="0"/>
        <v>622</v>
      </c>
      <c r="H17" s="4">
        <f t="shared" si="1"/>
        <v>0.82228571428571429</v>
      </c>
      <c r="I17" s="5">
        <f t="shared" si="2"/>
        <v>106.5925925925926</v>
      </c>
      <c r="J17" s="8" t="s">
        <v>67</v>
      </c>
    </row>
    <row r="18" spans="1:10">
      <c r="A18">
        <v>17</v>
      </c>
      <c r="B18" t="s">
        <v>29</v>
      </c>
      <c r="C18" t="s">
        <v>31</v>
      </c>
      <c r="D18" s="3">
        <v>25000</v>
      </c>
      <c r="E18" s="3">
        <v>6845</v>
      </c>
      <c r="F18">
        <v>43</v>
      </c>
      <c r="G18" s="3">
        <f t="shared" si="0"/>
        <v>18155</v>
      </c>
      <c r="H18" s="4">
        <f t="shared" si="1"/>
        <v>0.27379999999999999</v>
      </c>
      <c r="I18" s="5">
        <f t="shared" si="2"/>
        <v>159.18604651162789</v>
      </c>
      <c r="J18" s="8" t="s">
        <v>68</v>
      </c>
    </row>
    <row r="19" spans="1:10">
      <c r="A19">
        <v>18</v>
      </c>
      <c r="B19" t="s">
        <v>29</v>
      </c>
      <c r="C19" t="s">
        <v>32</v>
      </c>
      <c r="D19" s="3">
        <v>1300</v>
      </c>
      <c r="E19" s="3">
        <v>865</v>
      </c>
      <c r="F19">
        <v>12</v>
      </c>
      <c r="G19" s="3">
        <f t="shared" si="0"/>
        <v>435</v>
      </c>
      <c r="H19" s="4">
        <f t="shared" si="1"/>
        <v>0.66538461538461535</v>
      </c>
      <c r="I19" s="5">
        <f t="shared" si="2"/>
        <v>72.083333333333329</v>
      </c>
      <c r="J19" s="9" t="s">
        <v>76</v>
      </c>
    </row>
    <row r="20" spans="1:10">
      <c r="A20">
        <v>19</v>
      </c>
      <c r="B20" t="s">
        <v>33</v>
      </c>
      <c r="C20" t="s">
        <v>34</v>
      </c>
      <c r="D20" s="3">
        <v>40000</v>
      </c>
      <c r="E20" s="3">
        <v>1944</v>
      </c>
      <c r="F20">
        <v>18</v>
      </c>
      <c r="G20" s="3">
        <f t="shared" si="0"/>
        <v>38056</v>
      </c>
      <c r="H20" s="4">
        <f t="shared" si="1"/>
        <v>4.8599999999999997E-2</v>
      </c>
      <c r="I20" s="5">
        <f t="shared" si="2"/>
        <v>108</v>
      </c>
      <c r="J20" s="8" t="s">
        <v>69</v>
      </c>
    </row>
    <row r="21" spans="1:10">
      <c r="A21">
        <v>20</v>
      </c>
      <c r="B21" t="s">
        <v>33</v>
      </c>
      <c r="C21" t="s">
        <v>35</v>
      </c>
      <c r="D21" s="3">
        <v>5000</v>
      </c>
      <c r="E21" s="3">
        <v>2945</v>
      </c>
      <c r="F21">
        <v>44</v>
      </c>
      <c r="G21" s="3">
        <f t="shared" si="0"/>
        <v>2055</v>
      </c>
      <c r="H21" s="4">
        <f t="shared" si="1"/>
        <v>0.58899999999999997</v>
      </c>
      <c r="I21" s="5">
        <f t="shared" si="2"/>
        <v>66.931818181818187</v>
      </c>
      <c r="J21" s="8" t="s">
        <v>70</v>
      </c>
    </row>
    <row r="22" spans="1:10">
      <c r="A22">
        <v>21</v>
      </c>
      <c r="B22" t="s">
        <v>33</v>
      </c>
      <c r="C22" t="s">
        <v>36</v>
      </c>
      <c r="D22" s="3">
        <v>850</v>
      </c>
      <c r="E22" s="3">
        <v>360</v>
      </c>
      <c r="F22">
        <v>11</v>
      </c>
      <c r="G22" s="3">
        <f t="shared" si="0"/>
        <v>490</v>
      </c>
      <c r="H22" s="4">
        <f t="shared" si="1"/>
        <v>0.42352941176470588</v>
      </c>
      <c r="I22" s="5">
        <f t="shared" si="2"/>
        <v>32.727272727272727</v>
      </c>
      <c r="J22" s="8" t="s">
        <v>71</v>
      </c>
    </row>
    <row r="23" spans="1:10">
      <c r="A23">
        <v>22</v>
      </c>
      <c r="B23" t="s">
        <v>37</v>
      </c>
      <c r="C23" t="s">
        <v>38</v>
      </c>
      <c r="D23" s="3">
        <v>235000</v>
      </c>
      <c r="E23" s="3">
        <v>231362</v>
      </c>
      <c r="F23">
        <v>98</v>
      </c>
      <c r="G23" s="3">
        <f t="shared" si="0"/>
        <v>3638</v>
      </c>
      <c r="H23" s="4">
        <f t="shared" si="1"/>
        <v>0.98451914893617021</v>
      </c>
      <c r="I23" s="5">
        <f t="shared" si="2"/>
        <v>2360.8367346938776</v>
      </c>
      <c r="J23" s="8" t="s">
        <v>72</v>
      </c>
    </row>
    <row r="24" spans="1:10">
      <c r="A24">
        <v>23</v>
      </c>
      <c r="B24" t="s">
        <v>37</v>
      </c>
      <c r="C24" t="s">
        <v>39</v>
      </c>
      <c r="D24" s="3">
        <v>30000</v>
      </c>
      <c r="E24" s="3">
        <v>4745</v>
      </c>
      <c r="F24">
        <v>30</v>
      </c>
      <c r="G24" s="3">
        <f t="shared" si="0"/>
        <v>25255</v>
      </c>
      <c r="H24" s="4">
        <f t="shared" si="1"/>
        <v>0.15816666666666668</v>
      </c>
      <c r="I24" s="5">
        <f t="shared" si="2"/>
        <v>158.16666666666666</v>
      </c>
      <c r="J24" s="8" t="s">
        <v>73</v>
      </c>
    </row>
    <row r="25" spans="1:10">
      <c r="A25">
        <v>24</v>
      </c>
      <c r="B25" t="s">
        <v>37</v>
      </c>
      <c r="C25" t="s">
        <v>40</v>
      </c>
      <c r="D25" s="3">
        <v>10000</v>
      </c>
      <c r="E25" s="3">
        <v>7353</v>
      </c>
      <c r="F25">
        <v>19</v>
      </c>
      <c r="G25" s="3">
        <f t="shared" si="0"/>
        <v>2647</v>
      </c>
      <c r="H25" s="4">
        <f t="shared" si="1"/>
        <v>0.73529999999999995</v>
      </c>
      <c r="I25" s="5">
        <f t="shared" si="2"/>
        <v>387</v>
      </c>
      <c r="J25" s="8" t="s">
        <v>74</v>
      </c>
    </row>
    <row r="26" spans="1:10">
      <c r="A26">
        <v>25</v>
      </c>
      <c r="B26" t="s">
        <v>41</v>
      </c>
      <c r="C26" t="s">
        <v>42</v>
      </c>
      <c r="D26" s="3">
        <v>15000</v>
      </c>
      <c r="E26" s="3">
        <v>5360</v>
      </c>
      <c r="F26">
        <v>53</v>
      </c>
      <c r="G26" s="3">
        <f t="shared" si="0"/>
        <v>9640</v>
      </c>
      <c r="H26" s="4">
        <f t="shared" si="1"/>
        <v>0.35733333333333334</v>
      </c>
      <c r="I26" s="5">
        <f t="shared" si="2"/>
        <v>101.13207547169812</v>
      </c>
      <c r="J26" s="8" t="s">
        <v>75</v>
      </c>
    </row>
  </sheetData>
  <hyperlinks>
    <hyperlink ref="J19" r:id="rId1" xr:uid="{49012FAB-3660-4487-A474-605E0B36B03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selection activeCell="B16" sqref="B16"/>
    </sheetView>
  </sheetViews>
  <sheetFormatPr defaultRowHeight="13.5"/>
  <cols>
    <col min="1" max="1" width="45" customWidth="1"/>
    <col min="2" max="2" width="19" customWidth="1"/>
    <col min="4" max="5" width="17" customWidth="1"/>
  </cols>
  <sheetData>
    <row r="1" spans="1:5" ht="13.5" customHeight="1">
      <c r="A1" s="1" t="s">
        <v>43</v>
      </c>
      <c r="B1" s="1" t="s">
        <v>44</v>
      </c>
    </row>
    <row r="2" spans="1:5">
      <c r="A2" t="s">
        <v>45</v>
      </c>
      <c r="B2" s="7">
        <f>CORREL('Campaign Data'!E2:E26,'Campaign Data'!G2:G26)</f>
        <v>1.9880578488698654E-2</v>
      </c>
    </row>
    <row r="3" spans="1:5">
      <c r="A3" t="s">
        <v>46</v>
      </c>
      <c r="B3" s="7">
        <f>CORREL('Campaign Data'!E2:E26,'Campaign Data'!F2:F26)</f>
        <v>0.39894489295443247</v>
      </c>
    </row>
    <row r="4" spans="1:5">
      <c r="A4" t="s">
        <v>47</v>
      </c>
      <c r="B4" s="7">
        <f>CORREL('Campaign Data'!E2:E26,'Campaign Data'!D2:D26)</f>
        <v>0.59801453879708011</v>
      </c>
    </row>
    <row r="5" spans="1:5">
      <c r="A5" t="s">
        <v>48</v>
      </c>
      <c r="B5" s="7">
        <f>CORREL('Campaign Data'!E2:E26,'Campaign Data'!H2:H26)</f>
        <v>0.41860803962800991</v>
      </c>
    </row>
    <row r="8" spans="1:5">
      <c r="A8" t="s">
        <v>49</v>
      </c>
    </row>
    <row r="9" spans="1:5">
      <c r="A9" t="s">
        <v>50</v>
      </c>
    </row>
    <row r="10" spans="1:5" ht="13.9">
      <c r="D10" s="6" t="s">
        <v>5</v>
      </c>
      <c r="E10" s="6" t="s">
        <v>4</v>
      </c>
    </row>
    <row r="11" spans="1:5">
      <c r="D11">
        <f>'Campaign Data'!F12</f>
        <v>5</v>
      </c>
      <c r="E11">
        <f>'Campaign Data'!E12</f>
        <v>185</v>
      </c>
    </row>
    <row r="12" spans="1:5">
      <c r="D12">
        <f>'Campaign Data'!F13</f>
        <v>40</v>
      </c>
      <c r="E12">
        <f>'Campaign Data'!E13</f>
        <v>4100</v>
      </c>
    </row>
    <row r="13" spans="1:5">
      <c r="D13">
        <f>'Campaign Data'!F14</f>
        <v>11</v>
      </c>
      <c r="E13">
        <f>'Campaign Data'!E14</f>
        <v>1549</v>
      </c>
    </row>
    <row r="14" spans="1:5">
      <c r="D14">
        <f>'Campaign Data'!F15</f>
        <v>151</v>
      </c>
      <c r="E14">
        <f>'Campaign Data'!E15</f>
        <v>15300</v>
      </c>
    </row>
    <row r="15" spans="1:5">
      <c r="D15">
        <f>'Campaign Data'!F16</f>
        <v>478</v>
      </c>
      <c r="E15">
        <f>'Campaign Data'!E16</f>
        <v>33697</v>
      </c>
    </row>
    <row r="16" spans="1:5">
      <c r="D16">
        <f>'Campaign Data'!F17</f>
        <v>27</v>
      </c>
      <c r="E16">
        <f>'Campaign Data'!E17</f>
        <v>2878</v>
      </c>
    </row>
    <row r="17" spans="4:5">
      <c r="D17">
        <f>'Campaign Data'!F18</f>
        <v>43</v>
      </c>
      <c r="E17">
        <f>'Campaign Data'!E18</f>
        <v>6845</v>
      </c>
    </row>
    <row r="18" spans="4:5">
      <c r="D18">
        <f>'Campaign Data'!F19</f>
        <v>12</v>
      </c>
      <c r="E18">
        <f>'Campaign Data'!E19</f>
        <v>865</v>
      </c>
    </row>
    <row r="19" spans="4:5">
      <c r="D19">
        <f>'Campaign Data'!F20</f>
        <v>18</v>
      </c>
      <c r="E19">
        <f>'Campaign Data'!E20</f>
        <v>1944</v>
      </c>
    </row>
    <row r="20" spans="4:5">
      <c r="D20">
        <f>'Campaign Data'!F21</f>
        <v>44</v>
      </c>
      <c r="E20">
        <f>'Campaign Data'!E21</f>
        <v>2945</v>
      </c>
    </row>
    <row r="21" spans="4:5">
      <c r="D21">
        <f>'Campaign Data'!F22</f>
        <v>11</v>
      </c>
      <c r="E21">
        <f>'Campaign Data'!E22</f>
        <v>360</v>
      </c>
    </row>
    <row r="22" spans="4:5">
      <c r="D22">
        <f>'Campaign Data'!F24</f>
        <v>30</v>
      </c>
      <c r="E22">
        <f>'Campaign Data'!E24</f>
        <v>4745</v>
      </c>
    </row>
    <row r="23" spans="4:5">
      <c r="D23">
        <f>'Campaign Data'!F25</f>
        <v>19</v>
      </c>
      <c r="E23">
        <f>'Campaign Data'!E25</f>
        <v>7353</v>
      </c>
    </row>
    <row r="24" spans="4:5">
      <c r="D24">
        <f>'Campaign Data'!F26</f>
        <v>53</v>
      </c>
      <c r="E24">
        <f>'Campaign Data'!E26</f>
        <v>5360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 Data</vt:lpstr>
      <vt:lpstr>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Amey pal</cp:lastModifiedBy>
  <dcterms:modified xsi:type="dcterms:W3CDTF">2026-10-30T05:33:18Z</dcterms:modified>
</cp:coreProperties>
</file>